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\Desktop\1_Tese\Codigo\test\"/>
    </mc:Choice>
  </mc:AlternateContent>
  <xr:revisionPtr revIDLastSave="0" documentId="13_ncr:1_{DFA8673A-DF86-4E5B-8E67-9D0E1C2FCB43}" xr6:coauthVersionLast="47" xr6:coauthVersionMax="47" xr10:uidLastSave="{00000000-0000-0000-0000-000000000000}"/>
  <bookViews>
    <workbookView xWindow="690" yWindow="1920" windowWidth="34215" windowHeight="18645" xr2:uid="{B0FFF1A4-8EBE-4147-8756-C44944FCB6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Q36" i="1" l="1"/>
  <c r="Q35" i="1"/>
  <c r="Q9" i="1"/>
  <c r="Q8" i="1"/>
  <c r="D18" i="1"/>
  <c r="D14" i="1"/>
  <c r="D15" i="1"/>
  <c r="D16" i="1"/>
  <c r="D17" i="1"/>
  <c r="D13" i="1"/>
  <c r="Q33" i="1"/>
  <c r="Q32" i="1"/>
  <c r="D28" i="1"/>
  <c r="D29" i="1"/>
  <c r="D30" i="1"/>
  <c r="D31" i="1"/>
  <c r="D27" i="1"/>
  <c r="Q29" i="1"/>
  <c r="Q28" i="1"/>
  <c r="Q6" i="1"/>
  <c r="Q5" i="1" l="1"/>
  <c r="D10" i="1"/>
  <c r="D8" i="1"/>
  <c r="D9" i="1"/>
  <c r="D5" i="1"/>
  <c r="D6" i="1"/>
  <c r="D7" i="1"/>
  <c r="D4" i="1"/>
</calcChain>
</file>

<file path=xl/sharedStrings.xml><?xml version="1.0" encoding="utf-8"?>
<sst xmlns="http://schemas.openxmlformats.org/spreadsheetml/2006/main" count="5" uniqueCount="3">
  <si>
    <t>+26.3</t>
  </si>
  <si>
    <t>polaris</t>
  </si>
  <si>
    <t>sem offset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</si>
</sst>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quotePrefix="1"/>
    <xf numFmtId="164" fontId="0" fillId="0" borderId="0" xfId="0" applyNumberFormat="1"/>
    <xf numFmtId="11" fontId="1" fillId="0" borderId="0" xfId="0" applyNumberFormat="1" applyFont="1"/>
    <xf numFmtId="11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 vertical="center"/>
    </xf>
    <xf numFmtId="0" fontId="0" fillId="0" borderId="1" xfId="0" applyBorder="1"/>
    <xf numFmtId="11" fontId="0" fillId="0" borderId="2" xfId="0" applyNumberFormat="1" applyBorder="1"/>
    <xf numFmtId="0" fontId="0" fillId="0" borderId="3" xfId="0" applyBorder="1"/>
    <xf numFmtId="0" fontId="0" fillId="0" borderId="4" xfId="0" applyBorder="1"/>
    <xf numFmtId="11" fontId="0" fillId="0" borderId="5" xfId="0" applyNumberFormat="1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8775718737958197E-2"/>
                  <c:y val="7.407699037620298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Sheet1!$B$4:$B$10</c:f>
              <c:numCache>
                <c:formatCode>General</c:formatCode>
                <c:ptCount val="7"/>
                <c:pt idx="0">
                  <c:v>30</c:v>
                </c:pt>
                <c:pt idx="1">
                  <c:v>50</c:v>
                </c:pt>
                <c:pt idx="2">
                  <c:v>70</c:v>
                </c:pt>
                <c:pt idx="3">
                  <c:v>90</c:v>
                </c:pt>
                <c:pt idx="4">
                  <c:v>110</c:v>
                </c:pt>
                <c:pt idx="5">
                  <c:v>130</c:v>
                </c:pt>
                <c:pt idx="6">
                  <c:v>150</c:v>
                </c:pt>
              </c:numCache>
            </c:numRef>
          </c:xVal>
          <c:yVal>
            <c:numRef>
              <c:f>Sheet1!$C$4:$C$10</c:f>
              <c:numCache>
                <c:formatCode>General</c:formatCode>
                <c:ptCount val="7"/>
                <c:pt idx="0">
                  <c:v>116.5</c:v>
                </c:pt>
                <c:pt idx="1">
                  <c:v>108</c:v>
                </c:pt>
                <c:pt idx="2">
                  <c:v>101</c:v>
                </c:pt>
                <c:pt idx="3">
                  <c:v>90</c:v>
                </c:pt>
                <c:pt idx="4">
                  <c:v>85</c:v>
                </c:pt>
                <c:pt idx="5">
                  <c:v>77.5</c:v>
                </c:pt>
                <c:pt idx="6">
                  <c:v>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3A-4DDA-9D24-1B2C410BBF0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Sheet1!$B$13:$B$18</c:f>
              <c:numCache>
                <c:formatCode>General</c:formatCode>
                <c:ptCount val="6"/>
                <c:pt idx="0">
                  <c:v>30</c:v>
                </c:pt>
                <c:pt idx="1">
                  <c:v>50</c:v>
                </c:pt>
                <c:pt idx="2">
                  <c:v>70</c:v>
                </c:pt>
                <c:pt idx="3">
                  <c:v>90</c:v>
                </c:pt>
                <c:pt idx="4">
                  <c:v>110</c:v>
                </c:pt>
                <c:pt idx="5">
                  <c:v>130</c:v>
                </c:pt>
              </c:numCache>
            </c:numRef>
          </c:xVal>
          <c:yVal>
            <c:numRef>
              <c:f>Sheet1!$D$13:$D$18</c:f>
              <c:numCache>
                <c:formatCode>General</c:formatCode>
                <c:ptCount val="6"/>
                <c:pt idx="0">
                  <c:v>139.65299999999999</c:v>
                </c:pt>
                <c:pt idx="1">
                  <c:v>131.17400000000001</c:v>
                </c:pt>
                <c:pt idx="2">
                  <c:v>123.492</c:v>
                </c:pt>
                <c:pt idx="3">
                  <c:v>115.60299999999999</c:v>
                </c:pt>
                <c:pt idx="4">
                  <c:v>108.035</c:v>
                </c:pt>
                <c:pt idx="5">
                  <c:v>99.989000000000004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C7-461B-9E12-F199B80A56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0883503"/>
        <c:axId val="1082370095"/>
      </c:scatterChart>
      <c:valAx>
        <c:axId val="1030883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370095"/>
        <c:crosses val="autoZero"/>
        <c:crossBetween val="midCat"/>
      </c:valAx>
      <c:valAx>
        <c:axId val="1082370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883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501068915481407E-2"/>
          <c:y val="0.16040000000000001"/>
          <c:w val="0.8783645933239026"/>
          <c:h val="0.73205214348206471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1853578217339052E-2"/>
                  <c:y val="0.28905476815398073"/>
                </c:manualLayout>
              </c:layout>
              <c:numFmt formatCode="0.0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Sheet1!$B$35:$B$40</c:f>
              <c:numCache>
                <c:formatCode>General</c:formatCode>
                <c:ptCount val="6"/>
                <c:pt idx="0">
                  <c:v>1220</c:v>
                </c:pt>
                <c:pt idx="1">
                  <c:v>800</c:v>
                </c:pt>
                <c:pt idx="2">
                  <c:v>1700</c:v>
                </c:pt>
                <c:pt idx="3">
                  <c:v>1400</c:v>
                </c:pt>
                <c:pt idx="4">
                  <c:v>1100</c:v>
                </c:pt>
                <c:pt idx="5">
                  <c:v>1220</c:v>
                </c:pt>
              </c:numCache>
            </c:numRef>
          </c:xVal>
          <c:yVal>
            <c:numRef>
              <c:f>Sheet1!$C$35:$C$40</c:f>
              <c:numCache>
                <c:formatCode>General</c:formatCode>
                <c:ptCount val="6"/>
                <c:pt idx="0">
                  <c:v>125.35299999999999</c:v>
                </c:pt>
                <c:pt idx="1">
                  <c:v>141.94200000000001</c:v>
                </c:pt>
                <c:pt idx="2">
                  <c:v>107.336</c:v>
                </c:pt>
                <c:pt idx="3">
                  <c:v>118.575</c:v>
                </c:pt>
                <c:pt idx="4">
                  <c:v>130.054</c:v>
                </c:pt>
                <c:pt idx="5">
                  <c:v>125.312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2D-4C63-9FE1-0AD357E0A44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1190181381012916E-2"/>
                  <c:y val="-0.33684584426946634"/>
                </c:manualLayout>
              </c:layout>
              <c:numFmt formatCode="0.0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Sheet1!$B$27:$B$31</c:f>
              <c:numCache>
                <c:formatCode>General</c:formatCode>
                <c:ptCount val="5"/>
                <c:pt idx="0">
                  <c:v>750</c:v>
                </c:pt>
                <c:pt idx="1">
                  <c:v>950</c:v>
                </c:pt>
                <c:pt idx="2">
                  <c:v>1500</c:v>
                </c:pt>
                <c:pt idx="3">
                  <c:v>1800</c:v>
                </c:pt>
                <c:pt idx="4">
                  <c:v>2100</c:v>
                </c:pt>
              </c:numCache>
            </c:numRef>
          </c:xVal>
          <c:yVal>
            <c:numRef>
              <c:f>Sheet1!$D$27:$D$31</c:f>
              <c:numCache>
                <c:formatCode>General</c:formatCode>
                <c:ptCount val="5"/>
                <c:pt idx="0">
                  <c:v>147.30000000000001</c:v>
                </c:pt>
                <c:pt idx="1">
                  <c:v>138.80000000000001</c:v>
                </c:pt>
                <c:pt idx="2">
                  <c:v>118.3</c:v>
                </c:pt>
                <c:pt idx="3">
                  <c:v>106.3</c:v>
                </c:pt>
                <c:pt idx="4">
                  <c:v>94.8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92D-4C63-9FE1-0AD357E0A4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8198208"/>
        <c:axId val="2043716848"/>
      </c:scatterChart>
      <c:valAx>
        <c:axId val="2048198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716848"/>
        <c:crosses val="autoZero"/>
        <c:crossBetween val="midCat"/>
      </c:valAx>
      <c:valAx>
        <c:axId val="204371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1982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477376139980858"/>
          <c:y val="0.66575433070866163"/>
          <c:w val="0.28113299994316965"/>
          <c:h val="0.237779877515310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</xdr:colOff>
      <xdr:row>0</xdr:row>
      <xdr:rowOff>76200</xdr:rowOff>
    </xdr:from>
    <xdr:to>
      <xdr:col>12</xdr:col>
      <xdr:colOff>320040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4BEA91-5A5D-4D77-93BC-7A01AEA0EE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99060</xdr:colOff>
      <xdr:row>21</xdr:row>
      <xdr:rowOff>97155</xdr:rowOff>
    </xdr:from>
    <xdr:to>
      <xdr:col>13</xdr:col>
      <xdr:colOff>266700</xdr:colOff>
      <xdr:row>36</xdr:row>
      <xdr:rowOff>97155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74C7483-5801-4958-B8D4-47B2C21FD6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A141E-E893-4EF3-82E5-77BB6000C6B6}">
  <dimension ref="B3:R40"/>
  <sheetViews>
    <sheetView tabSelected="1" topLeftCell="A10" zoomScale="115" zoomScaleNormal="115" workbookViewId="0">
      <selection activeCell="N40" sqref="N40"/>
    </sheetView>
  </sheetViews>
  <sheetFormatPr defaultRowHeight="15" x14ac:dyDescent="0.25"/>
  <cols>
    <col min="9" max="9" width="9.5703125" bestFit="1" customWidth="1"/>
    <col min="11" max="11" width="10.28515625" bestFit="1" customWidth="1"/>
    <col min="14" max="14" width="13.85546875" bestFit="1" customWidth="1"/>
    <col min="15" max="15" width="10.7109375" bestFit="1" customWidth="1"/>
    <col min="17" max="17" width="17.5703125" customWidth="1"/>
    <col min="18" max="18" width="10.42578125" bestFit="1" customWidth="1"/>
  </cols>
  <sheetData>
    <row r="3" spans="2:17" x14ac:dyDescent="0.25">
      <c r="D3" s="1" t="s">
        <v>0</v>
      </c>
    </row>
    <row r="4" spans="2:17" x14ac:dyDescent="0.25">
      <c r="B4">
        <v>30</v>
      </c>
      <c r="C4">
        <v>116.5</v>
      </c>
      <c r="D4">
        <f>C4+$D$3</f>
        <v>142.80000000000001</v>
      </c>
    </row>
    <row r="5" spans="2:17" x14ac:dyDescent="0.25">
      <c r="B5">
        <v>50</v>
      </c>
      <c r="C5">
        <v>108</v>
      </c>
      <c r="D5">
        <f t="shared" ref="D5:D10" si="0">C5+$D$3</f>
        <v>134.30000000000001</v>
      </c>
      <c r="O5" s="2">
        <v>-0.40267999999999998</v>
      </c>
      <c r="P5" s="2"/>
      <c r="Q5" s="2">
        <f>1/O5</f>
        <v>-2.4833614780967519</v>
      </c>
    </row>
    <row r="6" spans="2:17" x14ac:dyDescent="0.25">
      <c r="B6">
        <v>70</v>
      </c>
      <c r="C6">
        <v>101</v>
      </c>
      <c r="D6">
        <f t="shared" si="0"/>
        <v>127.3</v>
      </c>
      <c r="O6" s="2">
        <v>154.68</v>
      </c>
      <c r="P6" s="2"/>
      <c r="Q6" s="2">
        <f>O6/O5</f>
        <v>-384.1263534320056</v>
      </c>
    </row>
    <row r="7" spans="2:17" x14ac:dyDescent="0.25">
      <c r="B7">
        <v>90</v>
      </c>
      <c r="C7">
        <v>90</v>
      </c>
      <c r="D7">
        <f t="shared" si="0"/>
        <v>116.3</v>
      </c>
    </row>
    <row r="8" spans="2:17" x14ac:dyDescent="0.25">
      <c r="B8">
        <v>110</v>
      </c>
      <c r="C8">
        <v>85</v>
      </c>
      <c r="D8">
        <f t="shared" si="0"/>
        <v>111.3</v>
      </c>
      <c r="O8" s="4">
        <v>-0.39374999999999999</v>
      </c>
      <c r="Q8" s="2">
        <f>1/O8</f>
        <v>-2.5396825396825395</v>
      </c>
    </row>
    <row r="9" spans="2:17" x14ac:dyDescent="0.25">
      <c r="B9">
        <v>130</v>
      </c>
      <c r="C9">
        <v>77.5</v>
      </c>
      <c r="D9">
        <f t="shared" si="0"/>
        <v>103.8</v>
      </c>
      <c r="O9" s="4">
        <v>151.16</v>
      </c>
      <c r="Q9" s="2">
        <f>O9/O8</f>
        <v>-383.8984126984127</v>
      </c>
    </row>
    <row r="10" spans="2:17" x14ac:dyDescent="0.25">
      <c r="B10">
        <v>150</v>
      </c>
      <c r="C10">
        <v>67</v>
      </c>
      <c r="D10">
        <f t="shared" si="0"/>
        <v>93.3</v>
      </c>
    </row>
    <row r="12" spans="2:17" x14ac:dyDescent="0.25">
      <c r="B12" t="s">
        <v>1</v>
      </c>
    </row>
    <row r="13" spans="2:17" x14ac:dyDescent="0.25">
      <c r="B13">
        <v>30</v>
      </c>
      <c r="C13">
        <v>-139.65299999999999</v>
      </c>
      <c r="D13">
        <f>-C13</f>
        <v>139.65299999999999</v>
      </c>
    </row>
    <row r="14" spans="2:17" x14ac:dyDescent="0.25">
      <c r="B14">
        <v>50</v>
      </c>
      <c r="C14">
        <v>-131.17400000000001</v>
      </c>
      <c r="D14">
        <f t="shared" ref="D14:D17" si="1">-C14</f>
        <v>131.17400000000001</v>
      </c>
    </row>
    <row r="15" spans="2:17" x14ac:dyDescent="0.25">
      <c r="B15">
        <v>70</v>
      </c>
      <c r="C15">
        <v>-123.492</v>
      </c>
      <c r="D15">
        <f t="shared" si="1"/>
        <v>123.492</v>
      </c>
    </row>
    <row r="16" spans="2:17" x14ac:dyDescent="0.25">
      <c r="B16">
        <v>90</v>
      </c>
      <c r="C16">
        <v>-115.60299999999999</v>
      </c>
      <c r="D16">
        <f t="shared" si="1"/>
        <v>115.60299999999999</v>
      </c>
    </row>
    <row r="17" spans="2:17" x14ac:dyDescent="0.25">
      <c r="B17">
        <v>110</v>
      </c>
      <c r="C17">
        <v>-108.035</v>
      </c>
      <c r="D17">
        <f t="shared" si="1"/>
        <v>108.035</v>
      </c>
    </row>
    <row r="18" spans="2:17" x14ac:dyDescent="0.25">
      <c r="B18">
        <v>130</v>
      </c>
      <c r="C18">
        <v>-99.989000000000004</v>
      </c>
      <c r="D18">
        <f>-C18</f>
        <v>99.989000000000004</v>
      </c>
    </row>
    <row r="26" spans="2:17" x14ac:dyDescent="0.25">
      <c r="D26" s="1" t="s">
        <v>0</v>
      </c>
    </row>
    <row r="27" spans="2:17" x14ac:dyDescent="0.25">
      <c r="B27">
        <v>750</v>
      </c>
      <c r="C27">
        <v>121</v>
      </c>
      <c r="D27">
        <f>C27+$D$3</f>
        <v>147.30000000000001</v>
      </c>
    </row>
    <row r="28" spans="2:17" x14ac:dyDescent="0.25">
      <c r="B28">
        <v>950</v>
      </c>
      <c r="C28">
        <v>112.5</v>
      </c>
      <c r="D28">
        <f t="shared" ref="D28:D32" si="2">C28+$D$3</f>
        <v>138.80000000000001</v>
      </c>
      <c r="O28" s="5">
        <v>-3.8406000000000003E-2</v>
      </c>
      <c r="Q28" s="2">
        <f>1/O28</f>
        <v>-26.037598291933552</v>
      </c>
    </row>
    <row r="29" spans="2:17" x14ac:dyDescent="0.25">
      <c r="B29">
        <v>1500</v>
      </c>
      <c r="C29">
        <v>92</v>
      </c>
      <c r="D29">
        <f t="shared" si="2"/>
        <v>118.3</v>
      </c>
      <c r="O29" s="3">
        <v>172.39</v>
      </c>
      <c r="Q29" s="2">
        <f>O29/O28</f>
        <v>-4488.6215695464243</v>
      </c>
    </row>
    <row r="30" spans="2:17" x14ac:dyDescent="0.25">
      <c r="B30">
        <v>1800</v>
      </c>
      <c r="C30">
        <v>80</v>
      </c>
      <c r="D30">
        <f t="shared" si="2"/>
        <v>106.3</v>
      </c>
    </row>
    <row r="31" spans="2:17" x14ac:dyDescent="0.25">
      <c r="B31">
        <v>2100</v>
      </c>
      <c r="C31">
        <v>68.5</v>
      </c>
      <c r="D31">
        <f t="shared" si="2"/>
        <v>94.8</v>
      </c>
    </row>
    <row r="32" spans="2:17" x14ac:dyDescent="0.25">
      <c r="O32" s="4">
        <v>3.8663000000000003E-2</v>
      </c>
      <c r="Q32" s="2">
        <f>1/O32</f>
        <v>25.864521635672347</v>
      </c>
    </row>
    <row r="33" spans="2:18" x14ac:dyDescent="0.25">
      <c r="O33" s="4">
        <v>176</v>
      </c>
      <c r="Q33" s="2">
        <f>O33/O32</f>
        <v>4552.1558078783328</v>
      </c>
    </row>
    <row r="34" spans="2:18" x14ac:dyDescent="0.25">
      <c r="B34" t="s">
        <v>1</v>
      </c>
    </row>
    <row r="35" spans="2:18" x14ac:dyDescent="0.25">
      <c r="B35">
        <v>1220</v>
      </c>
      <c r="C35">
        <v>125.35299999999999</v>
      </c>
      <c r="O35" s="8">
        <v>-3.8663000000000003E-2</v>
      </c>
      <c r="P35" s="9"/>
      <c r="Q35" s="10">
        <f>1/O35</f>
        <v>-25.864521635672347</v>
      </c>
      <c r="R35" s="6" t="s">
        <v>2</v>
      </c>
    </row>
    <row r="36" spans="2:18" x14ac:dyDescent="0.25">
      <c r="B36">
        <v>800</v>
      </c>
      <c r="C36">
        <v>141.94200000000001</v>
      </c>
      <c r="O36" s="11">
        <v>149.69999999999999</v>
      </c>
      <c r="P36" s="7"/>
      <c r="Q36" s="12">
        <f>O36/O35</f>
        <v>-3871.9188888601498</v>
      </c>
      <c r="R36" s="6"/>
    </row>
    <row r="37" spans="2:18" x14ac:dyDescent="0.25">
      <c r="B37">
        <v>1700</v>
      </c>
      <c r="C37">
        <v>107.336</v>
      </c>
    </row>
    <row r="38" spans="2:18" x14ac:dyDescent="0.25">
      <c r="B38">
        <v>1400</v>
      </c>
      <c r="C38">
        <v>118.575</v>
      </c>
    </row>
    <row r="39" spans="2:18" x14ac:dyDescent="0.25">
      <c r="B39">
        <v>1100</v>
      </c>
      <c r="C39">
        <v>130.054</v>
      </c>
    </row>
    <row r="40" spans="2:18" x14ac:dyDescent="0.25">
      <c r="B40">
        <v>1220</v>
      </c>
      <c r="C40">
        <v>125.312</v>
      </c>
    </row>
  </sheetData>
  <mergeCells count="1">
    <mergeCell ref="R35:R3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Raposo</dc:creator>
  <cp:lastModifiedBy>André Mahomed Pimentel Raposo</cp:lastModifiedBy>
  <dcterms:created xsi:type="dcterms:W3CDTF">2023-11-20T10:17:47Z</dcterms:created>
  <dcterms:modified xsi:type="dcterms:W3CDTF">2024-04-03T19:31:24Z</dcterms:modified>
</cp:coreProperties>
</file>